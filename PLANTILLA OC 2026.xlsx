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REYROS" sheetId="1" r:id="rId4"/>
  </sheets>
  <definedNames/>
  <calcPr/>
  <extLst>
    <ext uri="GoogleSheetsCustomDataVersion2">
      <go:sheetsCustomData xmlns:go="http://customooxmlschemas.google.com/" r:id="rId5" roundtripDataChecksum="pQVIgJsMfJX3oNn0bymbUE9t4FHMgrM8ax26hYlykGQ="/>
    </ext>
  </extLst>
</workbook>
</file>

<file path=xl/sharedStrings.xml><?xml version="1.0" encoding="utf-8"?>
<sst xmlns="http://schemas.openxmlformats.org/spreadsheetml/2006/main" count="93" uniqueCount="80">
  <si>
    <t>ORDEN DE COMPRA Nº:</t>
  </si>
  <si>
    <t>D260026</t>
  </si>
  <si>
    <t>Proyecto:</t>
  </si>
  <si>
    <t>AREQUIPA</t>
  </si>
  <si>
    <t>HP&amp;K INVERSIONES S.R.L.</t>
  </si>
  <si>
    <t>C.Costo:</t>
  </si>
  <si>
    <t>RUC: 20532384088</t>
  </si>
  <si>
    <t>OT:</t>
  </si>
  <si>
    <t>MZA. D LOTE. 8 URB. VILLA DEL MAR MOQUEGUA - ILO - ILO</t>
  </si>
  <si>
    <t>REQ</t>
  </si>
  <si>
    <t>OPERACIONES</t>
  </si>
  <si>
    <t>Telf. 51-054-617431</t>
  </si>
  <si>
    <t>ventas@hpkinv.com</t>
  </si>
  <si>
    <t>www.hpkinv.com</t>
  </si>
  <si>
    <t>ORDEN DE COMPRA</t>
  </si>
  <si>
    <t>Señor (es):</t>
  </si>
  <si>
    <t>FERREYROS</t>
  </si>
  <si>
    <t>Ruc:</t>
  </si>
  <si>
    <t>Dirección:</t>
  </si>
  <si>
    <t>JR. CRISTOBAL DE PERALTA NORT NRO 820 URB SAN IDELFONSO</t>
  </si>
  <si>
    <t>Fecha Emisión:</t>
  </si>
  <si>
    <t>Ref. Pedido:</t>
  </si>
  <si>
    <t>4900027706</t>
  </si>
  <si>
    <t>Teléfono:</t>
  </si>
  <si>
    <t>+51 949 624 559</t>
  </si>
  <si>
    <t>Moneda:</t>
  </si>
  <si>
    <t>DOLARES</t>
  </si>
  <si>
    <t xml:space="preserve"> </t>
  </si>
  <si>
    <t>Atención:</t>
  </si>
  <si>
    <t>EDWIN TORRES</t>
  </si>
  <si>
    <t>Forma de pago:</t>
  </si>
  <si>
    <t>CREDITO</t>
  </si>
  <si>
    <t>E-mail:</t>
  </si>
  <si>
    <t>edwin.torres@ferreyros.com.pe</t>
  </si>
  <si>
    <t>Cta Cte. Nº</t>
  </si>
  <si>
    <t>BCP</t>
  </si>
  <si>
    <t>Lugar entrega:</t>
  </si>
  <si>
    <t>Parque Industrial Rio Seco Mz C lote 17 Cerro Colorado-Arequipa- Perú</t>
  </si>
  <si>
    <t>Cta. Detraccion:</t>
  </si>
  <si>
    <t>BN</t>
  </si>
  <si>
    <t>ITEM</t>
  </si>
  <si>
    <t>CANT.</t>
  </si>
  <si>
    <t>Nro. PARTE/COD</t>
  </si>
  <si>
    <t>DESCRIPCION</t>
  </si>
  <si>
    <t>UN</t>
  </si>
  <si>
    <t>F. ENTREGA</t>
  </si>
  <si>
    <t>V.UNITARIO</t>
  </si>
  <si>
    <t>V. TOTAL</t>
  </si>
  <si>
    <t>1U-2182: Cojinete de manguito de 83,032 mm de diámetro exterior</t>
  </si>
  <si>
    <t>8T-9044: Anillo de retención interno</t>
  </si>
  <si>
    <t>1J-8569: Casquillo de pistón de 26,97 mm de largo</t>
  </si>
  <si>
    <t>109-4670: Casquillo de émbolo de derivación</t>
  </si>
  <si>
    <t>122-9351: Émbolo</t>
  </si>
  <si>
    <t>5M-0544: Perno de cabeza hexagonal de 1 1/8 pulg-7 x 4 1/2 pulg</t>
  </si>
  <si>
    <t>3S-1349: Arandela dura de 31 mm de diámetro interior</t>
  </si>
  <si>
    <t>Subtotal</t>
  </si>
  <si>
    <t>USD</t>
  </si>
  <si>
    <t>Dscto.</t>
  </si>
  <si>
    <t xml:space="preserve">IGV </t>
  </si>
  <si>
    <t>Otros %</t>
  </si>
  <si>
    <t>%</t>
  </si>
  <si>
    <t>Total</t>
  </si>
  <si>
    <t>Consignar en la factura, el número de cuenta interbancaria impresa o con un sello. Incluir número de cuenta de detracción de ser el caso.</t>
  </si>
  <si>
    <t>ELABORADO POR:</t>
  </si>
  <si>
    <t>APROBADO POR:</t>
  </si>
  <si>
    <t>ACEPTADO POR:</t>
  </si>
  <si>
    <t>DIEGO JAIME</t>
  </si>
  <si>
    <t>DIEGO MUÑOZ</t>
  </si>
  <si>
    <t>PROVEEDOR</t>
  </si>
  <si>
    <t>HPK-L-F-03 Version:01  Fecha 01-03-19</t>
  </si>
  <si>
    <t xml:space="preserve">Factura a: </t>
  </si>
  <si>
    <t>Entregar en:</t>
  </si>
  <si>
    <t>Parque Industrial Rio Seco  Mz C LOTE 17 Cerro Colorado Arequipa</t>
  </si>
  <si>
    <t xml:space="preserve">Notas Importantes: </t>
  </si>
  <si>
    <t>1). Esta ORDEN DE COMPRA tiene validez hasta la fecha indicada como "Fecha Entrega Proveedor". De no cumplir con la fecha acordada, esta ORDEN DE COMPRA quedará ANULADO.</t>
  </si>
  <si>
    <t>2). Al momento de entregar el servicio y/o bien, adjuntar GUÍA DE REMISIÓN ORIGINAL, 01 fotocopia de la ORDEN DE COMPRA, 01 fotocopia de certificados o informes  según corresponda.</t>
  </si>
  <si>
    <t xml:space="preserve">3). La FACTURA ORIGINAL se entregará con copia SUNAT y NEGOCIABLE, 01 fotocopia de GUIA DE REMISION, 01 fotocopia de la ORDEN DE COMPRA y 01 fotocopia de la COTIZACIÓN.  </t>
  </si>
  <si>
    <t xml:space="preserve">4). Es obligatorio escribir en la Factura el número de Orden de Compra y el número de Guía de Remisión. </t>
  </si>
  <si>
    <t>5)- La recepción de esta Orden de Compra implica la aceptación y conformidad de los términos y condiciones particulares del servicio, compra y suministros.</t>
  </si>
  <si>
    <t>6). Asimismo, el Proveedor declara haber leído y aceptar lo señalado en el presente documento.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</si>
</sst>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 * #,##0.00_ ;_ * \-#,##0.00_ ;_ * &quot;-&quot;??_ ;_ @_ "/>
    <numFmt numFmtId="166" formatCode="_-* #,##0.00_-;\-* #,##0.00_-;_-* &quot;-&quot;??_-;_-@"/>
    <numFmt numFmtId="167" formatCode="_(* #,##0.00_);_(* \(#,##0.00\);_(* &quot;-&quot;??_);_(@_)"/>
  </numFmts>
  <fonts count="21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rgb="FF444444"/>
      <name val="Arial"/>
    </font>
    <font>
      <sz val="14.0"/>
      <color theme="1"/>
      <name val="Calibri"/>
    </font>
    <font>
      <sz val="8.0"/>
      <color rgb="FF000000"/>
      <name val="Verdana"/>
    </font>
    <font>
      <u/>
      <sz val="11.0"/>
      <color theme="10"/>
      <name val="Calibri"/>
    </font>
    <font>
      <b/>
      <sz val="12.0"/>
      <color theme="1"/>
      <name val="Calibri"/>
    </font>
    <font>
      <sz val="11.0"/>
      <color rgb="FF000000"/>
      <name val="Calibri"/>
    </font>
    <font>
      <b/>
      <sz val="11.0"/>
      <color rgb="FF565656"/>
      <name val="Arial"/>
    </font>
    <font>
      <sz val="11.0"/>
      <color theme="0"/>
      <name val="Calibri"/>
    </font>
    <font>
      <b/>
      <u/>
      <sz val="12.0"/>
      <color theme="1"/>
      <name val="Calibri"/>
    </font>
    <font>
      <sz val="10.0"/>
      <color theme="1"/>
      <name val="Calibri"/>
    </font>
    <font>
      <b/>
      <sz val="8.0"/>
      <color theme="1"/>
      <name val="Arial"/>
    </font>
    <font>
      <sz val="9.0"/>
      <color theme="1"/>
      <name val="Arial"/>
    </font>
    <font>
      <sz val="9.0"/>
      <color rgb="FF0000FF"/>
      <name val="Arial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6A2"/>
        <bgColor rgb="FF0036A2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4">
    <border/>
    <border>
      <left style="medium">
        <color theme="0"/>
      </left>
      <top style="medium">
        <color theme="0"/>
      </top>
      <bottom/>
    </border>
    <border>
      <top style="medium">
        <color theme="0"/>
      </top>
      <bottom/>
    </border>
    <border>
      <right style="medium">
        <color theme="0"/>
      </right>
      <top style="medium">
        <color theme="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49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4" fillId="3" fontId="8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4" numFmtId="164" xfId="0" applyAlignment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0" fillId="0" fontId="9" numFmtId="0" xfId="0" applyFont="1"/>
    <xf quotePrefix="1" borderId="0" fillId="0" fontId="4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7" fillId="4" fontId="11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4" fontId="11" numFmtId="0" xfId="0" applyAlignment="1" applyBorder="1" applyFont="1">
      <alignment horizontal="center" vertical="center"/>
    </xf>
    <xf borderId="10" fillId="4" fontId="11" numFmtId="0" xfId="0" applyAlignment="1" applyBorder="1" applyFont="1">
      <alignment horizontal="center" shrinkToFit="0" vertical="center" wrapText="1"/>
    </xf>
    <xf borderId="11" fillId="4" fontId="11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4" numFmtId="0" xfId="0" applyAlignment="1" applyBorder="1" applyFont="1">
      <alignment horizontal="center" vertical="center"/>
    </xf>
    <xf borderId="14" fillId="0" fontId="3" numFmtId="0" xfId="0" applyBorder="1" applyFont="1"/>
    <xf borderId="10" fillId="5" fontId="12" numFmtId="0" xfId="0" applyAlignment="1" applyBorder="1" applyFill="1" applyFont="1">
      <alignment horizontal="center" shrinkToFit="0" vertical="center" wrapText="1"/>
    </xf>
    <xf borderId="11" fillId="5" fontId="12" numFmtId="1" xfId="0" applyAlignment="1" applyBorder="1" applyFont="1" applyNumberFormat="1">
      <alignment horizontal="center" vertical="center"/>
    </xf>
    <xf borderId="11" fillId="5" fontId="12" numFmtId="1" xfId="0" applyAlignment="1" applyBorder="1" applyFont="1" applyNumberFormat="1">
      <alignment horizontal="left" vertical="center"/>
    </xf>
    <xf borderId="11" fillId="0" fontId="4" numFmtId="0" xfId="0" applyAlignment="1" applyBorder="1" applyFont="1">
      <alignment horizontal="center" vertical="center"/>
    </xf>
    <xf borderId="11" fillId="0" fontId="4" numFmtId="16" xfId="0" applyAlignment="1" applyBorder="1" applyFont="1" applyNumberFormat="1">
      <alignment horizontal="center" vertical="center"/>
    </xf>
    <xf borderId="13" fillId="0" fontId="4" numFmtId="4" xfId="0" applyAlignment="1" applyBorder="1" applyFont="1" applyNumberFormat="1">
      <alignment horizontal="center" shrinkToFit="0" wrapText="1"/>
    </xf>
    <xf borderId="15" fillId="0" fontId="3" numFmtId="0" xfId="0" applyBorder="1" applyFont="1"/>
    <xf borderId="13" fillId="0" fontId="4" numFmtId="4" xfId="0" applyAlignment="1" applyBorder="1" applyFont="1" applyNumberFormat="1">
      <alignment horizontal="center" vertical="center"/>
    </xf>
    <xf borderId="11" fillId="5" fontId="12" numFmtId="0" xfId="0" applyAlignment="1" applyBorder="1" applyFont="1">
      <alignment horizontal="center" shrinkToFit="0" vertical="center" wrapText="1"/>
    </xf>
    <xf borderId="11" fillId="5" fontId="12" numFmtId="1" xfId="0" applyAlignment="1" applyBorder="1" applyFont="1" applyNumberFormat="1">
      <alignment horizontal="center" shrinkToFit="0" vertical="center" wrapText="1"/>
    </xf>
    <xf borderId="0" fillId="0" fontId="13" numFmtId="4" xfId="0" applyFont="1" applyNumberFormat="1"/>
    <xf borderId="0" fillId="0" fontId="4" numFmtId="165" xfId="0" applyFont="1" applyNumberFormat="1"/>
    <xf borderId="16" fillId="6" fontId="14" numFmtId="4" xfId="0" applyBorder="1" applyFill="1" applyFont="1" applyNumberFormat="1"/>
    <xf borderId="0" fillId="0" fontId="4" numFmtId="166" xfId="0" applyFont="1" applyNumberForma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Alignment="1" applyBorder="1" applyFont="1">
      <alignment horizontal="center"/>
    </xf>
    <xf borderId="18" fillId="0" fontId="5" numFmtId="4" xfId="0" applyAlignment="1" applyBorder="1" applyFont="1" applyNumberFormat="1">
      <alignment horizontal="right"/>
    </xf>
    <xf borderId="20" fillId="0" fontId="3" numFmtId="0" xfId="0" applyBorder="1" applyFont="1"/>
    <xf borderId="21" fillId="0" fontId="4" numFmtId="0" xfId="0" applyBorder="1" applyFont="1"/>
    <xf borderId="0" fillId="0" fontId="4" numFmtId="9" xfId="0" applyFont="1" applyNumberFormat="1"/>
    <xf borderId="17" fillId="0" fontId="4" numFmtId="0" xfId="0" applyAlignment="1" applyBorder="1" applyFont="1">
      <alignment horizontal="center"/>
    </xf>
    <xf borderId="21" fillId="0" fontId="5" numFmtId="167" xfId="0" applyAlignment="1" applyBorder="1" applyFont="1" applyNumberFormat="1">
      <alignment horizontal="right"/>
    </xf>
    <xf borderId="17" fillId="0" fontId="3" numFmtId="0" xfId="0" applyBorder="1" applyFont="1"/>
    <xf borderId="0" fillId="0" fontId="4" numFmtId="4" xfId="0" applyFont="1" applyNumberFormat="1"/>
    <xf borderId="21" fillId="0" fontId="5" numFmtId="4" xfId="0" applyAlignment="1" applyBorder="1" applyFont="1" applyNumberFormat="1">
      <alignment horizontal="right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Alignment="1" applyBorder="1" applyFont="1">
      <alignment horizontal="center"/>
    </xf>
    <xf borderId="22" fillId="0" fontId="5" numFmtId="4" xfId="0" applyAlignment="1" applyBorder="1" applyFont="1" applyNumberFormat="1">
      <alignment horizontal="right"/>
    </xf>
    <xf borderId="24" fillId="0" fontId="3" numFmtId="0" xfId="0" applyBorder="1" applyFont="1"/>
    <xf borderId="0" fillId="0" fontId="15" numFmtId="0" xfId="0" applyFont="1"/>
    <xf borderId="0" fillId="0" fontId="16" numFmtId="0" xfId="0" applyFont="1"/>
    <xf borderId="18" fillId="0" fontId="4" numFmtId="0" xfId="0" applyAlignment="1" applyBorder="1" applyFont="1">
      <alignment horizontal="center" vertical="center"/>
    </xf>
    <xf borderId="19" fillId="0" fontId="3" numFmtId="0" xfId="0" applyBorder="1" applyFont="1"/>
    <xf borderId="18" fillId="0" fontId="4" numFmtId="0" xfId="0" applyAlignment="1" applyBorder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2" fillId="0" fontId="4" numFmtId="0" xfId="0" applyAlignment="1" applyBorder="1" applyFont="1">
      <alignment horizontal="center"/>
    </xf>
    <xf borderId="0" fillId="0" fontId="17" numFmtId="0" xfId="0" applyFont="1"/>
    <xf borderId="10" fillId="7" fontId="17" numFmtId="0" xfId="0" applyBorder="1" applyFill="1" applyFont="1"/>
    <xf borderId="25" fillId="7" fontId="4" numFmtId="0" xfId="0" applyBorder="1" applyFont="1"/>
    <xf borderId="26" fillId="7" fontId="4" numFmtId="0" xfId="0" applyBorder="1" applyFont="1"/>
    <xf borderId="27" fillId="7" fontId="18" numFmtId="0" xfId="0" applyBorder="1" applyFont="1"/>
    <xf borderId="16" fillId="7" fontId="18" numFmtId="0" xfId="0" applyBorder="1" applyFont="1"/>
    <xf borderId="16" fillId="7" fontId="4" numFmtId="0" xfId="0" applyBorder="1" applyFont="1"/>
    <xf borderId="28" fillId="7" fontId="4" numFmtId="0" xfId="0" applyBorder="1" applyFont="1"/>
    <xf borderId="16" fillId="7" fontId="4" numFmtId="0" xfId="0" applyAlignment="1" applyBorder="1" applyFont="1">
      <alignment horizontal="left"/>
    </xf>
    <xf borderId="29" fillId="7" fontId="4" numFmtId="0" xfId="0" applyAlignment="1" applyBorder="1" applyFont="1">
      <alignment horizontal="left"/>
    </xf>
    <xf borderId="30" fillId="0" fontId="3" numFmtId="0" xfId="0" applyBorder="1" applyFont="1"/>
    <xf borderId="31" fillId="7" fontId="18" numFmtId="0" xfId="0" applyBorder="1" applyFont="1"/>
    <xf borderId="32" fillId="7" fontId="18" numFmtId="0" xfId="0" applyBorder="1" applyFont="1"/>
    <xf borderId="32" fillId="7" fontId="18" numFmtId="0" xfId="0" applyAlignment="1" applyBorder="1" applyFont="1">
      <alignment horizontal="center"/>
    </xf>
    <xf borderId="32" fillId="7" fontId="4" numFmtId="0" xfId="0" applyBorder="1" applyFont="1"/>
    <xf borderId="33" fillId="7" fontId="4" numFmtId="0" xfId="0" applyBorder="1" applyFont="1"/>
    <xf borderId="0" fillId="0" fontId="19" numFmtId="0" xfId="0" applyFont="1"/>
    <xf borderId="0" fillId="0" fontId="19" numFmtId="0" xfId="0" applyAlignment="1" applyFont="1">
      <alignment horizontal="center"/>
    </xf>
    <xf borderId="0" fillId="0" fontId="18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161925</xdr:rowOff>
    </xdr:from>
    <xdr:ext cx="1790700" cy="466725"/>
    <xdr:pic>
      <xdr:nvPicPr>
        <xdr:cNvPr descr="http://hpkinv.com/images/logo%20sin%20brillofw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55</xdr:row>
      <xdr:rowOff>171450</xdr:rowOff>
    </xdr:from>
    <xdr:ext cx="2562225" cy="1590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1552575</xdr:colOff>
      <xdr:row>56</xdr:row>
      <xdr:rowOff>38100</xdr:rowOff>
    </xdr:from>
    <xdr:ext cx="2943225" cy="14001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entas@hpkinv.com" TargetMode="External"/><Relationship Id="rId2" Type="http://schemas.openxmlformats.org/officeDocument/2006/relationships/hyperlink" Target="http://www.hpkinv.com/" TargetMode="External"/><Relationship Id="rId3" Type="http://schemas.openxmlformats.org/officeDocument/2006/relationships/hyperlink" Target="mailto:edwin.torres@ferreyros.com.p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.86"/>
    <col customWidth="1" min="3" max="3" width="3.0"/>
    <col customWidth="1" min="4" max="4" width="5.57"/>
    <col customWidth="1" min="5" max="5" width="20.86"/>
    <col customWidth="1" min="6" max="6" width="64.86"/>
    <col customWidth="1" min="7" max="7" width="6.0"/>
    <col customWidth="1" min="8" max="8" width="10.71"/>
    <col customWidth="1" min="9" max="9" width="5.43"/>
    <col customWidth="1" min="10" max="10" width="5.29"/>
    <col customWidth="1" min="11" max="11" width="4.71"/>
    <col customWidth="1" min="12" max="12" width="2.14"/>
    <col customWidth="1" min="13" max="13" width="14.14"/>
    <col customWidth="1" min="14" max="26" width="10.71"/>
  </cols>
  <sheetData>
    <row r="1" ht="14.25" customHeight="1"/>
    <row r="2" ht="14.25" customHeight="1">
      <c r="H2" s="1" t="s">
        <v>0</v>
      </c>
      <c r="K2" s="2" t="s">
        <v>1</v>
      </c>
      <c r="L2" s="3"/>
      <c r="M2" s="4"/>
    </row>
    <row r="3" ht="14.25" customHeight="1">
      <c r="H3" s="1" t="s">
        <v>2</v>
      </c>
      <c r="I3" s="5" t="s">
        <v>3</v>
      </c>
    </row>
    <row r="4" ht="14.25" customHeight="1">
      <c r="B4" s="6" t="s">
        <v>4</v>
      </c>
      <c r="H4" s="1" t="s">
        <v>5</v>
      </c>
      <c r="I4" s="5"/>
    </row>
    <row r="5" ht="14.25" customHeight="1">
      <c r="B5" s="1" t="s">
        <v>6</v>
      </c>
      <c r="H5" s="1" t="s">
        <v>7</v>
      </c>
      <c r="I5" s="5">
        <v>368425.0</v>
      </c>
    </row>
    <row r="6" ht="14.25" customHeight="1">
      <c r="B6" s="1" t="s">
        <v>8</v>
      </c>
      <c r="H6" s="1" t="s">
        <v>9</v>
      </c>
      <c r="I6" s="5" t="s">
        <v>10</v>
      </c>
    </row>
    <row r="7" ht="14.25" customHeight="1">
      <c r="B7" s="1" t="s">
        <v>11</v>
      </c>
    </row>
    <row r="8" ht="14.25" customHeight="1">
      <c r="B8" s="7" t="s">
        <v>12</v>
      </c>
      <c r="F8" s="8"/>
    </row>
    <row r="9" ht="14.25" customHeight="1">
      <c r="B9" s="7" t="s">
        <v>13</v>
      </c>
    </row>
    <row r="10" ht="7.5" customHeight="1"/>
    <row r="11" ht="33.75" customHeight="1">
      <c r="B11" s="9" t="s">
        <v>14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ht="14.25" customHeight="1">
      <c r="O12" s="8"/>
    </row>
    <row r="13" ht="14.25" customHeight="1">
      <c r="B13" s="1" t="s">
        <v>15</v>
      </c>
      <c r="E13" s="12" t="s">
        <v>16</v>
      </c>
      <c r="G13" s="5"/>
      <c r="H13" s="1" t="s">
        <v>17</v>
      </c>
      <c r="K13" s="5">
        <v>2.0100028698E10</v>
      </c>
    </row>
    <row r="14" ht="14.25" customHeight="1">
      <c r="B14" s="1" t="s">
        <v>18</v>
      </c>
      <c r="E14" s="13" t="s">
        <v>19</v>
      </c>
      <c r="G14" s="5"/>
      <c r="H14" s="1" t="s">
        <v>20</v>
      </c>
      <c r="K14" s="14">
        <f>TODAY()</f>
        <v>46079</v>
      </c>
    </row>
    <row r="15" ht="14.25" customHeight="1">
      <c r="B15" s="12"/>
      <c r="G15" s="5"/>
      <c r="H15" s="1" t="s">
        <v>21</v>
      </c>
      <c r="K15" s="15" t="s">
        <v>22</v>
      </c>
      <c r="O15" s="16"/>
    </row>
    <row r="16" ht="14.25" customHeight="1">
      <c r="B16" s="1" t="s">
        <v>23</v>
      </c>
      <c r="E16" s="17" t="s">
        <v>24</v>
      </c>
      <c r="G16" s="5"/>
      <c r="H16" s="1" t="s">
        <v>25</v>
      </c>
      <c r="K16" s="5" t="s">
        <v>26</v>
      </c>
      <c r="N16" s="1" t="s">
        <v>27</v>
      </c>
    </row>
    <row r="17" ht="14.25" customHeight="1">
      <c r="B17" s="1" t="s">
        <v>28</v>
      </c>
      <c r="E17" s="12" t="s">
        <v>29</v>
      </c>
      <c r="G17" s="5"/>
      <c r="H17" s="1" t="s">
        <v>30</v>
      </c>
      <c r="K17" s="5" t="s">
        <v>31</v>
      </c>
      <c r="S17" s="1">
        <v>1.0</v>
      </c>
    </row>
    <row r="18" ht="14.25" customHeight="1">
      <c r="B18" s="1" t="s">
        <v>32</v>
      </c>
      <c r="E18" s="18" t="s">
        <v>33</v>
      </c>
      <c r="H18" s="1" t="s">
        <v>34</v>
      </c>
      <c r="I18" s="1" t="s">
        <v>35</v>
      </c>
    </row>
    <row r="19" ht="15.0" customHeight="1">
      <c r="B19" s="1" t="s">
        <v>36</v>
      </c>
      <c r="F19" s="12" t="s">
        <v>37</v>
      </c>
      <c r="H19" s="1" t="s">
        <v>38</v>
      </c>
      <c r="J19" s="1" t="s">
        <v>39</v>
      </c>
      <c r="K19" s="5"/>
    </row>
    <row r="20" ht="14.25" customHeight="1"/>
    <row r="21" ht="32.25" customHeight="1">
      <c r="A21" s="19"/>
      <c r="B21" s="20" t="s">
        <v>40</v>
      </c>
      <c r="C21" s="21"/>
      <c r="D21" s="22" t="s">
        <v>41</v>
      </c>
      <c r="E21" s="23" t="s">
        <v>42</v>
      </c>
      <c r="F21" s="24" t="s">
        <v>43</v>
      </c>
      <c r="G21" s="22" t="s">
        <v>44</v>
      </c>
      <c r="H21" s="25" t="s">
        <v>45</v>
      </c>
      <c r="I21" s="20" t="s">
        <v>46</v>
      </c>
      <c r="J21" s="26"/>
      <c r="K21" s="21"/>
      <c r="L21" s="20" t="s">
        <v>47</v>
      </c>
      <c r="M21" s="21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B22" s="27">
        <v>1.0</v>
      </c>
      <c r="C22" s="28"/>
      <c r="D22" s="29">
        <v>2.0</v>
      </c>
      <c r="E22" s="30">
        <v>368425.0</v>
      </c>
      <c r="F22" s="31" t="s">
        <v>48</v>
      </c>
      <c r="G22" s="32" t="s">
        <v>44</v>
      </c>
      <c r="H22" s="33">
        <v>46041.0</v>
      </c>
      <c r="I22" s="34">
        <v>108.62</v>
      </c>
      <c r="J22" s="35"/>
      <c r="K22" s="28"/>
      <c r="L22" s="36">
        <f t="shared" ref="L22:L28" si="1">D22*I22</f>
        <v>217.24</v>
      </c>
      <c r="M22" s="28"/>
    </row>
    <row r="23" ht="14.25" customHeight="1">
      <c r="B23" s="27">
        <v>2.0</v>
      </c>
      <c r="C23" s="28"/>
      <c r="D23" s="29">
        <v>1.0</v>
      </c>
      <c r="E23" s="30">
        <v>368425.0</v>
      </c>
      <c r="F23" s="31" t="s">
        <v>49</v>
      </c>
      <c r="G23" s="32" t="s">
        <v>44</v>
      </c>
      <c r="H23" s="33">
        <v>46041.0</v>
      </c>
      <c r="I23" s="36">
        <v>70.48</v>
      </c>
      <c r="J23" s="35"/>
      <c r="K23" s="28"/>
      <c r="L23" s="36">
        <f t="shared" si="1"/>
        <v>70.48</v>
      </c>
      <c r="M23" s="28"/>
    </row>
    <row r="24" ht="14.25" customHeight="1">
      <c r="B24" s="27">
        <v>3.0</v>
      </c>
      <c r="C24" s="28"/>
      <c r="D24" s="29">
        <v>2.0</v>
      </c>
      <c r="E24" s="30">
        <v>368425.0</v>
      </c>
      <c r="F24" s="31" t="s">
        <v>50</v>
      </c>
      <c r="G24" s="32" t="s">
        <v>44</v>
      </c>
      <c r="H24" s="33">
        <v>46041.0</v>
      </c>
      <c r="I24" s="36">
        <v>51.88</v>
      </c>
      <c r="J24" s="35"/>
      <c r="K24" s="28"/>
      <c r="L24" s="36">
        <f t="shared" si="1"/>
        <v>103.76</v>
      </c>
      <c r="M24" s="28"/>
    </row>
    <row r="25" ht="14.25" customHeight="1">
      <c r="B25" s="27">
        <v>4.0</v>
      </c>
      <c r="C25" s="28"/>
      <c r="D25" s="29">
        <v>2.0</v>
      </c>
      <c r="E25" s="30">
        <v>368425.0</v>
      </c>
      <c r="F25" s="31" t="s">
        <v>51</v>
      </c>
      <c r="G25" s="32" t="s">
        <v>44</v>
      </c>
      <c r="H25" s="33">
        <v>46041.0</v>
      </c>
      <c r="I25" s="36">
        <v>231.57</v>
      </c>
      <c r="J25" s="35"/>
      <c r="K25" s="28"/>
      <c r="L25" s="36">
        <f t="shared" si="1"/>
        <v>463.14</v>
      </c>
      <c r="M25" s="28"/>
    </row>
    <row r="26" ht="14.25" customHeight="1">
      <c r="B26" s="27">
        <v>5.0</v>
      </c>
      <c r="C26" s="28"/>
      <c r="D26" s="29">
        <v>2.0</v>
      </c>
      <c r="E26" s="30">
        <v>368425.0</v>
      </c>
      <c r="F26" s="31" t="s">
        <v>52</v>
      </c>
      <c r="G26" s="32" t="s">
        <v>44</v>
      </c>
      <c r="H26" s="33">
        <v>46041.0</v>
      </c>
      <c r="I26" s="36">
        <v>203.83</v>
      </c>
      <c r="J26" s="35"/>
      <c r="K26" s="28"/>
      <c r="L26" s="36">
        <f t="shared" si="1"/>
        <v>407.66</v>
      </c>
      <c r="M26" s="28"/>
    </row>
    <row r="27" ht="14.25" customHeight="1">
      <c r="B27" s="27">
        <v>6.0</v>
      </c>
      <c r="C27" s="28"/>
      <c r="D27" s="29">
        <v>4.0</v>
      </c>
      <c r="E27" s="30">
        <v>368425.0</v>
      </c>
      <c r="F27" s="31" t="s">
        <v>53</v>
      </c>
      <c r="G27" s="32" t="s">
        <v>44</v>
      </c>
      <c r="H27" s="33">
        <v>46041.0</v>
      </c>
      <c r="I27" s="36">
        <v>30.59</v>
      </c>
      <c r="J27" s="35"/>
      <c r="K27" s="28"/>
      <c r="L27" s="36">
        <f t="shared" si="1"/>
        <v>122.36</v>
      </c>
      <c r="M27" s="28"/>
    </row>
    <row r="28" ht="14.25" customHeight="1">
      <c r="B28" s="27">
        <v>7.0</v>
      </c>
      <c r="C28" s="28"/>
      <c r="D28" s="29">
        <v>4.0</v>
      </c>
      <c r="E28" s="30">
        <v>368425.0</v>
      </c>
      <c r="F28" s="31" t="s">
        <v>54</v>
      </c>
      <c r="G28" s="32" t="s">
        <v>44</v>
      </c>
      <c r="H28" s="33">
        <v>46041.0</v>
      </c>
      <c r="I28" s="36">
        <v>7.64</v>
      </c>
      <c r="J28" s="35"/>
      <c r="K28" s="28"/>
      <c r="L28" s="36">
        <f t="shared" si="1"/>
        <v>30.56</v>
      </c>
      <c r="M28" s="28"/>
    </row>
    <row r="29" ht="14.25" customHeight="1">
      <c r="B29" s="27">
        <v>8.0</v>
      </c>
      <c r="C29" s="28"/>
      <c r="D29" s="29"/>
      <c r="E29" s="30"/>
      <c r="F29" s="31"/>
      <c r="G29" s="32"/>
      <c r="H29" s="33"/>
      <c r="I29" s="36"/>
      <c r="J29" s="35"/>
      <c r="K29" s="28"/>
      <c r="L29" s="36"/>
      <c r="M29" s="28"/>
    </row>
    <row r="30" ht="14.25" customHeight="1">
      <c r="B30" s="27">
        <v>9.0</v>
      </c>
      <c r="C30" s="28"/>
      <c r="D30" s="37"/>
      <c r="E30" s="30"/>
      <c r="F30" s="31"/>
      <c r="G30" s="32"/>
      <c r="H30" s="33"/>
      <c r="I30" s="36"/>
      <c r="J30" s="35"/>
      <c r="K30" s="28"/>
      <c r="L30" s="36"/>
      <c r="M30" s="28"/>
    </row>
    <row r="31" ht="14.25" customHeight="1">
      <c r="B31" s="27">
        <v>10.0</v>
      </c>
      <c r="C31" s="28"/>
      <c r="D31" s="37"/>
      <c r="E31" s="30"/>
      <c r="F31" s="31"/>
      <c r="G31" s="32"/>
      <c r="H31" s="33"/>
      <c r="I31" s="36"/>
      <c r="J31" s="35"/>
      <c r="K31" s="28"/>
      <c r="L31" s="36"/>
      <c r="M31" s="28"/>
    </row>
    <row r="32" ht="14.25" customHeight="1">
      <c r="B32" s="27">
        <v>11.0</v>
      </c>
      <c r="C32" s="28"/>
      <c r="D32" s="37"/>
      <c r="E32" s="30"/>
      <c r="F32" s="31"/>
      <c r="G32" s="32"/>
      <c r="H32" s="33"/>
      <c r="I32" s="36"/>
      <c r="J32" s="35"/>
      <c r="K32" s="28"/>
      <c r="L32" s="36"/>
      <c r="M32" s="28"/>
    </row>
    <row r="33" ht="14.25" customHeight="1">
      <c r="B33" s="27">
        <v>12.0</v>
      </c>
      <c r="C33" s="28"/>
      <c r="D33" s="37"/>
      <c r="E33" s="30"/>
      <c r="F33" s="31"/>
      <c r="G33" s="32"/>
      <c r="H33" s="33"/>
      <c r="I33" s="36"/>
      <c r="J33" s="35"/>
      <c r="K33" s="28"/>
      <c r="L33" s="36"/>
      <c r="M33" s="28"/>
    </row>
    <row r="34" ht="14.25" customHeight="1">
      <c r="B34" s="27">
        <v>13.0</v>
      </c>
      <c r="C34" s="28"/>
      <c r="D34" s="37"/>
      <c r="E34" s="30"/>
      <c r="F34" s="31"/>
      <c r="G34" s="32"/>
      <c r="H34" s="33"/>
      <c r="I34" s="36"/>
      <c r="J34" s="35"/>
      <c r="K34" s="28"/>
      <c r="L34" s="36"/>
      <c r="M34" s="28"/>
    </row>
    <row r="35" ht="14.25" customHeight="1">
      <c r="B35" s="27">
        <v>14.0</v>
      </c>
      <c r="C35" s="28"/>
      <c r="D35" s="37"/>
      <c r="E35" s="30"/>
      <c r="F35" s="31"/>
      <c r="G35" s="32"/>
      <c r="H35" s="33"/>
      <c r="I35" s="36"/>
      <c r="J35" s="35"/>
      <c r="K35" s="28"/>
      <c r="L35" s="36"/>
      <c r="M35" s="28"/>
    </row>
    <row r="36" ht="14.25" customHeight="1">
      <c r="B36" s="27">
        <v>15.0</v>
      </c>
      <c r="C36" s="28"/>
      <c r="D36" s="37"/>
      <c r="E36" s="30"/>
      <c r="F36" s="31"/>
      <c r="G36" s="32"/>
      <c r="H36" s="33"/>
      <c r="I36" s="36"/>
      <c r="J36" s="35"/>
      <c r="K36" s="28"/>
      <c r="L36" s="36"/>
      <c r="M36" s="28"/>
    </row>
    <row r="37" ht="14.25" customHeight="1">
      <c r="B37" s="27">
        <v>16.0</v>
      </c>
      <c r="C37" s="28"/>
      <c r="D37" s="37"/>
      <c r="E37" s="30"/>
      <c r="F37" s="31"/>
      <c r="G37" s="32"/>
      <c r="H37" s="33"/>
      <c r="I37" s="36"/>
      <c r="J37" s="35"/>
      <c r="K37" s="28"/>
      <c r="L37" s="36"/>
      <c r="M37" s="28"/>
    </row>
    <row r="38" ht="14.25" customHeight="1">
      <c r="B38" s="27">
        <v>17.0</v>
      </c>
      <c r="C38" s="28"/>
      <c r="D38" s="37"/>
      <c r="E38" s="30"/>
      <c r="F38" s="31"/>
      <c r="G38" s="32"/>
      <c r="H38" s="33"/>
      <c r="I38" s="36"/>
      <c r="J38" s="35"/>
      <c r="K38" s="28"/>
      <c r="L38" s="36"/>
      <c r="M38" s="28"/>
    </row>
    <row r="39" ht="14.25" customHeight="1">
      <c r="B39" s="27">
        <v>18.0</v>
      </c>
      <c r="C39" s="28"/>
      <c r="D39" s="37"/>
      <c r="E39" s="30"/>
      <c r="F39" s="31"/>
      <c r="G39" s="32"/>
      <c r="H39" s="33"/>
      <c r="I39" s="36"/>
      <c r="J39" s="35"/>
      <c r="K39" s="28"/>
      <c r="L39" s="36"/>
      <c r="M39" s="28"/>
    </row>
    <row r="40" ht="14.25" customHeight="1">
      <c r="B40" s="27">
        <v>19.0</v>
      </c>
      <c r="C40" s="28"/>
      <c r="D40" s="37"/>
      <c r="E40" s="30"/>
      <c r="F40" s="31"/>
      <c r="G40" s="32"/>
      <c r="H40" s="33"/>
      <c r="I40" s="36"/>
      <c r="J40" s="35"/>
      <c r="K40" s="28"/>
      <c r="L40" s="36"/>
      <c r="M40" s="28"/>
    </row>
    <row r="41" ht="14.25" customHeight="1">
      <c r="B41" s="27">
        <v>20.0</v>
      </c>
      <c r="C41" s="28"/>
      <c r="D41" s="37"/>
      <c r="E41" s="30"/>
      <c r="F41" s="31"/>
      <c r="G41" s="32"/>
      <c r="H41" s="33"/>
      <c r="I41" s="36"/>
      <c r="J41" s="35"/>
      <c r="K41" s="28"/>
      <c r="L41" s="36"/>
      <c r="M41" s="28"/>
    </row>
    <row r="42" ht="14.25" customHeight="1">
      <c r="B42" s="27">
        <v>21.0</v>
      </c>
      <c r="C42" s="28"/>
      <c r="D42" s="37"/>
      <c r="E42" s="30"/>
      <c r="F42" s="31"/>
      <c r="G42" s="32"/>
      <c r="H42" s="33"/>
      <c r="I42" s="36"/>
      <c r="J42" s="35"/>
      <c r="K42" s="28"/>
      <c r="L42" s="36"/>
      <c r="M42" s="28"/>
    </row>
    <row r="43" ht="14.25" customHeight="1">
      <c r="B43" s="27">
        <v>22.0</v>
      </c>
      <c r="C43" s="28"/>
      <c r="D43" s="37"/>
      <c r="E43" s="30"/>
      <c r="F43" s="31"/>
      <c r="G43" s="32"/>
      <c r="H43" s="33"/>
      <c r="I43" s="36"/>
      <c r="J43" s="35"/>
      <c r="K43" s="28"/>
      <c r="L43" s="36"/>
      <c r="M43" s="28"/>
    </row>
    <row r="44" ht="14.25" customHeight="1">
      <c r="B44" s="27">
        <v>23.0</v>
      </c>
      <c r="C44" s="28"/>
      <c r="D44" s="37"/>
      <c r="E44" s="30"/>
      <c r="F44" s="31"/>
      <c r="G44" s="32"/>
      <c r="H44" s="33"/>
      <c r="I44" s="36"/>
      <c r="J44" s="35"/>
      <c r="K44" s="28"/>
      <c r="L44" s="36"/>
      <c r="M44" s="28"/>
    </row>
    <row r="45" ht="14.25" customHeight="1">
      <c r="B45" s="27">
        <v>24.0</v>
      </c>
      <c r="C45" s="28"/>
      <c r="D45" s="37"/>
      <c r="E45" s="30"/>
      <c r="F45" s="31"/>
      <c r="G45" s="32"/>
      <c r="H45" s="33"/>
      <c r="I45" s="36"/>
      <c r="J45" s="35"/>
      <c r="K45" s="28"/>
      <c r="L45" s="36"/>
      <c r="M45" s="28"/>
    </row>
    <row r="46" ht="14.25" customHeight="1">
      <c r="B46" s="27">
        <v>25.0</v>
      </c>
      <c r="C46" s="28"/>
      <c r="D46" s="37"/>
      <c r="E46" s="30"/>
      <c r="F46" s="31"/>
      <c r="G46" s="32"/>
      <c r="H46" s="33"/>
      <c r="I46" s="36"/>
      <c r="J46" s="35"/>
      <c r="K46" s="28"/>
      <c r="L46" s="36"/>
      <c r="M46" s="28"/>
    </row>
    <row r="47" ht="14.25" customHeight="1">
      <c r="B47" s="27">
        <v>26.0</v>
      </c>
      <c r="C47" s="28"/>
      <c r="D47" s="37"/>
      <c r="E47" s="30"/>
      <c r="F47" s="31"/>
      <c r="G47" s="32"/>
      <c r="H47" s="33"/>
      <c r="I47" s="36"/>
      <c r="J47" s="35"/>
      <c r="K47" s="28"/>
      <c r="L47" s="36"/>
      <c r="M47" s="28"/>
    </row>
    <row r="48" ht="14.25" customHeight="1">
      <c r="B48" s="27">
        <v>27.0</v>
      </c>
      <c r="C48" s="28"/>
      <c r="D48" s="37"/>
      <c r="E48" s="30"/>
      <c r="F48" s="31"/>
      <c r="G48" s="32"/>
      <c r="H48" s="33"/>
      <c r="I48" s="36"/>
      <c r="J48" s="35"/>
      <c r="K48" s="28"/>
      <c r="L48" s="36"/>
      <c r="M48" s="28"/>
    </row>
    <row r="49" ht="14.25" customHeight="1">
      <c r="B49" s="27">
        <v>28.0</v>
      </c>
      <c r="C49" s="28"/>
      <c r="D49" s="37"/>
      <c r="E49" s="38"/>
      <c r="F49" s="31"/>
      <c r="G49" s="32"/>
      <c r="H49" s="33"/>
      <c r="I49" s="36"/>
      <c r="J49" s="35"/>
      <c r="K49" s="28"/>
      <c r="L49" s="36"/>
      <c r="M49" s="28"/>
    </row>
    <row r="50" ht="14.25" customHeight="1">
      <c r="B50" s="27">
        <v>29.0</v>
      </c>
      <c r="C50" s="28"/>
      <c r="D50" s="37"/>
      <c r="E50" s="38"/>
      <c r="F50" s="31"/>
      <c r="G50" s="32"/>
      <c r="H50" s="33"/>
      <c r="I50" s="36"/>
      <c r="J50" s="35"/>
      <c r="K50" s="28"/>
      <c r="L50" s="36"/>
      <c r="M50" s="28"/>
    </row>
    <row r="51" ht="14.25" customHeight="1">
      <c r="F51" s="39"/>
      <c r="J51" s="40"/>
      <c r="M51" s="41" t="str">
        <f>#REF!-L53</f>
        <v>#REF!</v>
      </c>
    </row>
    <row r="52" ht="14.25" customHeight="1">
      <c r="F52" s="42"/>
      <c r="H52" s="43"/>
      <c r="I52" s="44" t="s">
        <v>55</v>
      </c>
      <c r="J52" s="45"/>
      <c r="K52" s="46" t="s">
        <v>56</v>
      </c>
      <c r="L52" s="47">
        <f>SUM(L22:M50)-L53</f>
        <v>1188.76</v>
      </c>
      <c r="M52" s="48"/>
    </row>
    <row r="53" ht="14.25" customHeight="1">
      <c r="F53" s="40"/>
      <c r="H53" s="43"/>
      <c r="I53" s="49" t="s">
        <v>57</v>
      </c>
      <c r="J53" s="50"/>
      <c r="K53" s="51" t="s">
        <v>56</v>
      </c>
      <c r="L53" s="52">
        <v>226.44</v>
      </c>
      <c r="M53" s="53"/>
    </row>
    <row r="54" ht="14.25" customHeight="1">
      <c r="F54" s="54"/>
      <c r="H54" s="43"/>
      <c r="I54" s="49" t="s">
        <v>58</v>
      </c>
      <c r="J54" s="50">
        <v>0.18</v>
      </c>
      <c r="K54" s="51" t="s">
        <v>56</v>
      </c>
      <c r="L54" s="55">
        <f>+L52*J54</f>
        <v>213.9768</v>
      </c>
      <c r="M54" s="53"/>
    </row>
    <row r="55" ht="14.25" customHeight="1">
      <c r="H55" s="43"/>
      <c r="I55" s="49" t="s">
        <v>59</v>
      </c>
      <c r="J55" s="50" t="s">
        <v>60</v>
      </c>
      <c r="K55" s="51" t="s">
        <v>56</v>
      </c>
      <c r="L55" s="55"/>
      <c r="M55" s="53"/>
    </row>
    <row r="56" ht="14.25" customHeight="1">
      <c r="F56" s="54"/>
      <c r="H56" s="43"/>
      <c r="I56" s="56" t="s">
        <v>61</v>
      </c>
      <c r="J56" s="57"/>
      <c r="K56" s="58" t="s">
        <v>56</v>
      </c>
      <c r="L56" s="59">
        <f>+L52+L54+L55</f>
        <v>1402.7368</v>
      </c>
      <c r="M56" s="60"/>
    </row>
    <row r="57" ht="14.25" customHeight="1">
      <c r="M57" s="54"/>
    </row>
    <row r="58" ht="14.25" customHeight="1">
      <c r="B58" s="61" t="s">
        <v>62</v>
      </c>
      <c r="M58" s="54"/>
    </row>
    <row r="59" ht="14.25" customHeight="1">
      <c r="B59" s="62"/>
    </row>
    <row r="60" ht="14.25" customHeight="1">
      <c r="B60" s="63"/>
      <c r="C60" s="64"/>
      <c r="D60" s="64"/>
      <c r="E60" s="64"/>
      <c r="F60" s="63"/>
      <c r="G60" s="48"/>
      <c r="H60" s="65"/>
      <c r="I60" s="64"/>
      <c r="J60" s="64"/>
      <c r="K60" s="64"/>
      <c r="L60" s="64"/>
      <c r="M60" s="48"/>
    </row>
    <row r="61" ht="14.25" customHeight="1">
      <c r="B61" s="66"/>
      <c r="F61" s="66"/>
      <c r="G61" s="53"/>
      <c r="H61" s="66"/>
      <c r="M61" s="53"/>
    </row>
    <row r="62" ht="14.25" customHeight="1">
      <c r="B62" s="67"/>
      <c r="C62" s="68"/>
      <c r="D62" s="68"/>
      <c r="E62" s="68"/>
      <c r="F62" s="67"/>
      <c r="G62" s="60"/>
      <c r="H62" s="67"/>
      <c r="I62" s="68"/>
      <c r="J62" s="68"/>
      <c r="K62" s="68"/>
      <c r="L62" s="68"/>
      <c r="M62" s="60"/>
    </row>
    <row r="63" ht="14.25" customHeight="1">
      <c r="B63" s="65" t="s">
        <v>63</v>
      </c>
      <c r="C63" s="64"/>
      <c r="D63" s="64"/>
      <c r="E63" s="64"/>
      <c r="F63" s="65" t="s">
        <v>64</v>
      </c>
      <c r="G63" s="48"/>
      <c r="H63" s="65" t="s">
        <v>65</v>
      </c>
      <c r="I63" s="64"/>
      <c r="J63" s="64"/>
      <c r="K63" s="64"/>
      <c r="L63" s="64"/>
      <c r="M63" s="48"/>
    </row>
    <row r="64" ht="14.25" customHeight="1">
      <c r="B64" s="69" t="s">
        <v>66</v>
      </c>
      <c r="C64" s="68"/>
      <c r="D64" s="68"/>
      <c r="E64" s="68"/>
      <c r="F64" s="69" t="s">
        <v>67</v>
      </c>
      <c r="G64" s="60"/>
      <c r="H64" s="69" t="s">
        <v>68</v>
      </c>
      <c r="I64" s="68"/>
      <c r="J64" s="68"/>
      <c r="K64" s="68"/>
      <c r="L64" s="68"/>
      <c r="M64" s="60"/>
    </row>
    <row r="65" ht="14.25" customHeight="1"/>
    <row r="66" ht="14.25" customHeight="1">
      <c r="B66" s="70"/>
    </row>
    <row r="67" ht="3.75" customHeight="1">
      <c r="B67" s="71" t="s">
        <v>69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3"/>
    </row>
    <row r="68" ht="14.25" customHeight="1">
      <c r="B68" s="74"/>
      <c r="C68" s="75"/>
      <c r="D68" s="75"/>
      <c r="E68" s="76" t="s">
        <v>70</v>
      </c>
      <c r="F68" s="76" t="s">
        <v>4</v>
      </c>
      <c r="G68" s="76"/>
      <c r="H68" s="76"/>
      <c r="I68" s="76"/>
      <c r="J68" s="76"/>
      <c r="K68" s="76"/>
      <c r="L68" s="76"/>
      <c r="M68" s="77"/>
    </row>
    <row r="69" ht="14.25" customHeight="1">
      <c r="B69" s="74"/>
      <c r="C69" s="75"/>
      <c r="D69" s="75"/>
      <c r="E69" s="76"/>
      <c r="F69" s="78">
        <v>2.0532384088E10</v>
      </c>
      <c r="G69" s="79"/>
      <c r="H69" s="80"/>
      <c r="I69" s="76"/>
      <c r="J69" s="76"/>
      <c r="K69" s="76"/>
      <c r="L69" s="76"/>
      <c r="M69" s="77"/>
    </row>
    <row r="70" ht="14.25" customHeight="1">
      <c r="B70" s="74"/>
      <c r="C70" s="75"/>
      <c r="D70" s="75"/>
      <c r="E70" s="76"/>
      <c r="F70" s="76" t="s">
        <v>37</v>
      </c>
      <c r="G70" s="76"/>
      <c r="H70" s="76"/>
      <c r="I70" s="76"/>
      <c r="J70" s="76"/>
      <c r="K70" s="76"/>
      <c r="L70" s="76"/>
      <c r="M70" s="77"/>
    </row>
    <row r="71" ht="14.25" customHeight="1">
      <c r="B71" s="74"/>
      <c r="C71" s="75"/>
      <c r="D71" s="75"/>
      <c r="E71" s="76" t="s">
        <v>71</v>
      </c>
      <c r="F71" s="76" t="s">
        <v>72</v>
      </c>
      <c r="G71" s="76"/>
      <c r="H71" s="76"/>
      <c r="I71" s="76"/>
      <c r="J71" s="76"/>
      <c r="K71" s="76"/>
      <c r="L71" s="76"/>
      <c r="M71" s="77"/>
    </row>
    <row r="72" ht="5.25" customHeight="1">
      <c r="B72" s="81"/>
      <c r="C72" s="82"/>
      <c r="D72" s="82"/>
      <c r="E72" s="83"/>
      <c r="F72" s="84"/>
      <c r="G72" s="84"/>
      <c r="H72" s="84"/>
      <c r="I72" s="84"/>
      <c r="J72" s="84"/>
      <c r="K72" s="84"/>
      <c r="L72" s="84"/>
      <c r="M72" s="85"/>
    </row>
    <row r="73" ht="14.25" customHeight="1">
      <c r="D73" s="86"/>
      <c r="E73" s="87"/>
    </row>
    <row r="74" ht="14.25" customHeight="1">
      <c r="B74" s="88" t="s">
        <v>73</v>
      </c>
      <c r="C74" s="88"/>
      <c r="D74" s="86"/>
      <c r="E74" s="87"/>
    </row>
    <row r="75" ht="14.25" customHeight="1">
      <c r="B75" s="89" t="s">
        <v>74</v>
      </c>
      <c r="C75" s="88"/>
      <c r="D75" s="86"/>
      <c r="E75" s="87"/>
    </row>
    <row r="76" ht="14.25" customHeight="1">
      <c r="B76" s="89" t="s">
        <v>75</v>
      </c>
      <c r="C76" s="88"/>
      <c r="D76" s="86"/>
      <c r="E76" s="87"/>
    </row>
    <row r="77" ht="14.25" customHeight="1">
      <c r="B77" s="89" t="s">
        <v>76</v>
      </c>
      <c r="C77" s="88"/>
    </row>
    <row r="78" ht="14.25" customHeight="1">
      <c r="B78" s="89" t="s">
        <v>77</v>
      </c>
      <c r="C78" s="88"/>
    </row>
    <row r="79" ht="14.25" customHeight="1">
      <c r="B79" s="89" t="s">
        <v>78</v>
      </c>
      <c r="C79" s="88"/>
    </row>
    <row r="80" ht="14.25" customHeight="1">
      <c r="B80" s="89" t="s">
        <v>79</v>
      </c>
      <c r="C80" s="88"/>
    </row>
    <row r="81" ht="9.7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3">
    <mergeCell ref="I32:K32"/>
    <mergeCell ref="I33:K33"/>
    <mergeCell ref="L33:M33"/>
    <mergeCell ref="I29:K29"/>
    <mergeCell ref="L29:M29"/>
    <mergeCell ref="I30:K30"/>
    <mergeCell ref="L30:M30"/>
    <mergeCell ref="I31:K31"/>
    <mergeCell ref="L31:M31"/>
    <mergeCell ref="L32:M32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50:C50"/>
    <mergeCell ref="B60:E62"/>
    <mergeCell ref="F60:G62"/>
    <mergeCell ref="B63:E63"/>
    <mergeCell ref="F63:G63"/>
    <mergeCell ref="B64:E64"/>
    <mergeCell ref="F64:G64"/>
    <mergeCell ref="B43:C43"/>
    <mergeCell ref="B44:C44"/>
    <mergeCell ref="B45:C45"/>
    <mergeCell ref="B46:C46"/>
    <mergeCell ref="B47:C47"/>
    <mergeCell ref="B48:C48"/>
    <mergeCell ref="B49:C49"/>
    <mergeCell ref="I34:K34"/>
    <mergeCell ref="L34:M34"/>
    <mergeCell ref="I35:K35"/>
    <mergeCell ref="L35:M35"/>
    <mergeCell ref="I36:K36"/>
    <mergeCell ref="L36:M36"/>
    <mergeCell ref="L37:M37"/>
    <mergeCell ref="I37:K37"/>
    <mergeCell ref="I38:K38"/>
    <mergeCell ref="L38:M38"/>
    <mergeCell ref="I39:K39"/>
    <mergeCell ref="L39:M39"/>
    <mergeCell ref="I40:K40"/>
    <mergeCell ref="L40:M40"/>
    <mergeCell ref="I42:K42"/>
    <mergeCell ref="L42:M42"/>
    <mergeCell ref="I43:K43"/>
    <mergeCell ref="L43:M43"/>
    <mergeCell ref="I44:K44"/>
    <mergeCell ref="L44:M44"/>
    <mergeCell ref="L45:M45"/>
    <mergeCell ref="I45:K45"/>
    <mergeCell ref="I46:K46"/>
    <mergeCell ref="L46:M46"/>
    <mergeCell ref="I47:K47"/>
    <mergeCell ref="L47:M47"/>
    <mergeCell ref="I48:K48"/>
    <mergeCell ref="L48:M48"/>
    <mergeCell ref="L55:M55"/>
    <mergeCell ref="L56:M56"/>
    <mergeCell ref="H60:M62"/>
    <mergeCell ref="H63:M63"/>
    <mergeCell ref="H64:M64"/>
    <mergeCell ref="G69:H69"/>
    <mergeCell ref="I49:K49"/>
    <mergeCell ref="L49:M49"/>
    <mergeCell ref="I50:K50"/>
    <mergeCell ref="L50:M50"/>
    <mergeCell ref="L52:M52"/>
    <mergeCell ref="L53:M53"/>
    <mergeCell ref="L54:M54"/>
    <mergeCell ref="K2:M2"/>
    <mergeCell ref="I3:M3"/>
    <mergeCell ref="I4:M4"/>
    <mergeCell ref="I5:M5"/>
    <mergeCell ref="I6:M6"/>
    <mergeCell ref="B11:M11"/>
    <mergeCell ref="K13:M13"/>
    <mergeCell ref="K14:M14"/>
    <mergeCell ref="K15:M15"/>
    <mergeCell ref="K16:M16"/>
    <mergeCell ref="K17:M17"/>
    <mergeCell ref="K19:M19"/>
    <mergeCell ref="I21:K21"/>
    <mergeCell ref="L21:M21"/>
    <mergeCell ref="E13:F13"/>
    <mergeCell ref="E14:F14"/>
    <mergeCell ref="B15:F15"/>
    <mergeCell ref="E16:F16"/>
    <mergeCell ref="E17:F17"/>
    <mergeCell ref="E18:F18"/>
    <mergeCell ref="B21:C21"/>
    <mergeCell ref="I22:K22"/>
    <mergeCell ref="L22:M22"/>
    <mergeCell ref="I23:K23"/>
    <mergeCell ref="L23:M23"/>
    <mergeCell ref="I24:K24"/>
    <mergeCell ref="L24:M24"/>
    <mergeCell ref="L25:M25"/>
    <mergeCell ref="B22:C22"/>
    <mergeCell ref="B23:C23"/>
    <mergeCell ref="B24:C24"/>
    <mergeCell ref="B25:C25"/>
    <mergeCell ref="B26:C26"/>
    <mergeCell ref="B27:C27"/>
    <mergeCell ref="B28:C28"/>
    <mergeCell ref="I25:K25"/>
    <mergeCell ref="I26:K26"/>
    <mergeCell ref="L26:M26"/>
    <mergeCell ref="I27:K27"/>
    <mergeCell ref="L27:M27"/>
    <mergeCell ref="I28:K28"/>
    <mergeCell ref="L28:M28"/>
    <mergeCell ref="I41:K41"/>
    <mergeCell ref="L41:M41"/>
  </mergeCells>
  <hyperlinks>
    <hyperlink r:id="rId1" ref="B8"/>
    <hyperlink r:id="rId2" ref="B9"/>
    <hyperlink r:id="rId3" ref="E18"/>
  </hyperlinks>
  <printOptions/>
  <pageMargins bottom="0.7766203703703703" footer="0.0" header="0.0" left="0.6290625" right="0.48291666666666666" top="0.6777777777777778"/>
  <pageSetup paperSize="9" orientation="portrait"/>
  <headerFooter>
    <oddFooter>&amp;L           contabilidad@hpkinv.com&amp;RPágina 1 of 1   </oddFooter>
  </headerFooter>
  <rowBreaks count="1" manualBreakCount="1">
    <brk id="81" man="1"/>
  </rowBrea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2026-01-20T19:19:46Z</dcterms:created>
  <dc:creator>HPK INVERSIONES</dc:creator>
</cp:coreProperties>
</file>